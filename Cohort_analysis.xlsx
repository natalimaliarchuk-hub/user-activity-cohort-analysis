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BF74AAD2_C080_46C0_93FE_7AFAE0C2965B_.wvu.FilterData">Data!$A$1:$D$43</definedName>
    <definedName name="SlicerCache_Table_1_Col_1">#N/A</definedName>
  </definedNames>
  <calcPr/>
  <customWorkbookViews>
    <customWorkbookView activeSheetId="0" maximized="1" windowHeight="0" windowWidth="0" guid="{BF74AAD2-C080-46C0-93FE-7AFAE0C2965B}"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<sst xmlns="http://schemas.openxmlformats.org/spreadsheetml/2006/main" count="11" uniqueCount="8">
  <si>
    <t>Conclusions</t>
  </si>
  <si>
    <t>The table shows a classic user retention pattern. The 2025-01-01 cohort demonstrates the strongest retention, suggesting high-quality and loyal organic user acquisition. In contrast, the following cohorts show a sharper decline in activity within the first month, which is typical of promotion-driven acquisition, where users tend to disengage quickly after promotional offers end.</t>
  </si>
  <si>
    <t>promo_signup_flag</t>
  </si>
  <si>
    <t>cohort_month</t>
  </si>
  <si>
    <t>month_offset</t>
  </si>
  <si>
    <t>users_total</t>
  </si>
  <si>
    <t>SUM of users_total</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</si>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</sst>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color rgb="FF9FC5E8"/>
      <name val="Arial"/>
      <scheme val="minor"/>
    </font>
  </fonts>
  <fills count="10">
    <fill>
      <patternFill patternType="none"/>
    </fill>
    <fill>
      <patternFill patternType="lightGray"/>
    </fill>
    <fill>
      <patternFill patternType="solid">
        <fgColor rgb="FFA4C2F4"/>
        <bgColor rgb="FFA4C2F4"/>
      </patternFill>
    </fill>
    <fill>
      <patternFill patternType="solid">
        <fgColor rgb="FFC9DAF8"/>
        <bgColor rgb="FFC9DAF8"/>
      </patternFill>
    </fill>
    <fill>
      <patternFill patternType="solid">
        <fgColor rgb="FF93C47D"/>
        <bgColor rgb="FF93C47D"/>
      </patternFill>
    </fill>
    <fill>
      <patternFill patternType="solid">
        <fgColor rgb="FF274E13"/>
        <bgColor rgb="FF274E13"/>
      </patternFill>
    </fill>
    <fill>
      <patternFill patternType="solid">
        <fgColor rgb="FF38761D"/>
        <bgColor rgb="FF38761D"/>
      </patternFill>
    </fill>
    <fill>
      <patternFill patternType="solid">
        <fgColor rgb="FF6AA84F"/>
        <bgColor rgb="FF6AA84F"/>
      </patternFill>
    </fill>
    <fill>
      <patternFill patternType="solid">
        <fgColor rgb="FFB6D7A8"/>
        <bgColor rgb="FFB6D7A8"/>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0" fontId="1" numFmtId="0" xfId="0" applyAlignment="1" applyBorder="1" applyFont="1">
      <alignment readingOrder="0" shrinkToFit="0" wrapText="1"/>
    </xf>
    <xf borderId="0" fillId="0" fontId="1" numFmtId="0" xfId="0" applyAlignment="1" applyFont="1">
      <alignment readingOrder="0"/>
    </xf>
    <xf borderId="0" fillId="0" fontId="1" numFmtId="164" xfId="0" applyAlignment="1" applyFont="1" applyNumberFormat="1">
      <alignment readingOrder="0"/>
    </xf>
    <xf borderId="0" fillId="3" fontId="1" numFmtId="0" xfId="0" applyFill="1" applyFont="1"/>
    <xf borderId="0" fillId="0" fontId="1" numFmtId="164" xfId="0" applyFont="1" applyNumberFormat="1"/>
    <xf borderId="0" fillId="0" fontId="1" numFmtId="3" xfId="0" applyFont="1" applyNumberFormat="1"/>
    <xf borderId="0" fillId="4" fontId="1" numFmtId="0" xfId="0" applyFill="1" applyFont="1"/>
    <xf borderId="0" fillId="5" fontId="1" numFmtId="3" xfId="0" applyFill="1" applyFont="1" applyNumberFormat="1"/>
    <xf borderId="0" fillId="6" fontId="1" numFmtId="3" xfId="0" applyFill="1" applyFont="1" applyNumberFormat="1"/>
    <xf borderId="0" fillId="7" fontId="1" numFmtId="3" xfId="0" applyFill="1" applyFont="1" applyNumberFormat="1"/>
    <xf borderId="0" fillId="4" fontId="1" numFmtId="3" xfId="0" applyFill="1" applyFont="1" applyNumberFormat="1"/>
    <xf borderId="0" fillId="8" fontId="1" numFmtId="3" xfId="0" applyFill="1" applyFont="1" applyNumberFormat="1"/>
    <xf borderId="0" fillId="9" fontId="1" numFmtId="3" xfId="0" applyFill="1" applyFont="1" applyNumberFormat="1"/>
    <xf borderId="0" fillId="0" fontId="2" numFmtId="0" xfId="0" applyFont="1"/>
    <xf borderId="0" fillId="0" fontId="1" numFmtId="10" xfId="0" applyFont="1" applyNumberFormat="1"/>
  </cellXfs>
  <cellStyles count="1">
    <cellStyle xfId="0" name="Normal" builtinId="0"/>
  </cellStyles>
  <dxfs count="7">
    <dxf>
      <font/>
      <fill>
        <patternFill patternType="none"/>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2" type="wholeTable"/>
      <tableStyleElement dxfId="3" type="firstRowSubheading"/>
      <tableStyleElement dxfId="3" type="secondRowSubheading"/>
      <tableStyleElement dxfId="3" type="thirdRowSubheading"/>
      <tableStyleElement dxfId="4" type="firstColumnSubheading"/>
      <tableStyleElement dxfId="4" type="secondColumnSubheading"/>
      <tableStyleElement dxfId="4" type="thirdColumnSubheading"/>
      <tableStyleElement dxfId="4" type="headerRow"/>
      <tableStyleElement dxfId="5" type="firstSubtotalRow"/>
      <tableStyleElement dxfId="5" type="secondSubtotalRow"/>
      <tableStyleElement dxfId="5" type="thirdSubtotalRow"/>
      <tableStyleElement dxfId="6" type="totalRow"/>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200025</xdr:colOff>
      <xdr:row>2</xdr:row>
      <xdr:rowOff>200025</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0">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0">
      <sharedItems containsSemiMixedTypes="0" containsString="0" containsNumber="1" containsInteger="1">
        <n v="0.0"/>
        <n v="1.0"/>
        <n v="2.0"/>
        <n v="3.0"/>
        <n v="4.0"/>
        <n v="5.0"/>
      </sharedItems>
    </cacheField>
    <cacheField name="users_total" numFmtId="0">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lGrandTotals="0" compact="0" compactData="0">
  <location ref="A3:G11" firstHeaderRow="0" firstDataRow="1" firstDataCol="1" rowPageCount="1" colPageCount="1"/>
  <pivotFields>
    <pivotField name="promo_signup_flag" axis="axisPage" compact="0"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outline="0" multipleItemSelectionAllowed="1" showAll="0" sortType="ascending">
      <items>
        <item x="0"/>
        <item x="1"/>
        <item x="2"/>
        <item x="3"/>
        <item x="4"/>
        <item x="5"/>
        <item t="default"/>
      </items>
    </pivotField>
    <pivotField name="users_tota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
  </rowFields>
  <colFields>
    <field x="2"/>
  </colFields>
  <pageFields>
    <pageField fld="0"/>
  </pageFields>
  <dataFields>
    <dataField name="SUM of users_total" fld="3" baseField="0"/>
  </dataFields>
  <pivotTableStyleInfo name="Google Sheets Pivot Table Style" showRowHeaders="1" showColHeaders="1" showLastColumn="1"/>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ohort_month" id="2"/>
    <tableColumn name="month_offset" id="3"/>
    <tableColumn name="users_total"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2</v>
      </c>
      <c r="B1" s="3" t="s">
        <v>3</v>
      </c>
      <c r="C1" s="3" t="s">
        <v>4</v>
      </c>
      <c r="D1" s="3" t="s">
        <v>5</v>
      </c>
    </row>
    <row r="2">
      <c r="A2" s="3">
        <v>0.0</v>
      </c>
      <c r="B2" s="4">
        <v>45658.0</v>
      </c>
      <c r="C2" s="3">
        <v>0.0</v>
      </c>
      <c r="D2" s="3">
        <v>70.0</v>
      </c>
    </row>
    <row r="3">
      <c r="A3" s="3">
        <v>0.0</v>
      </c>
      <c r="B3" s="4">
        <v>45658.0</v>
      </c>
      <c r="C3" s="3">
        <v>1.0</v>
      </c>
      <c r="D3" s="3">
        <v>58.0</v>
      </c>
    </row>
    <row r="4">
      <c r="A4" s="3">
        <v>0.0</v>
      </c>
      <c r="B4" s="4">
        <v>45658.0</v>
      </c>
      <c r="C4" s="3">
        <v>2.0</v>
      </c>
      <c r="D4" s="3">
        <v>54.0</v>
      </c>
    </row>
    <row r="5">
      <c r="A5" s="3">
        <v>0.0</v>
      </c>
      <c r="B5" s="4">
        <v>45658.0</v>
      </c>
      <c r="C5" s="3">
        <v>3.0</v>
      </c>
      <c r="D5" s="3">
        <v>52.0</v>
      </c>
    </row>
    <row r="6">
      <c r="A6" s="3">
        <v>0.0</v>
      </c>
      <c r="B6" s="4">
        <v>45658.0</v>
      </c>
      <c r="C6" s="3">
        <v>4.0</v>
      </c>
      <c r="D6" s="3">
        <v>43.0</v>
      </c>
    </row>
    <row r="7">
      <c r="A7" s="3">
        <v>0.0</v>
      </c>
      <c r="B7" s="4">
        <v>45658.0</v>
      </c>
      <c r="C7" s="3">
        <v>5.0</v>
      </c>
      <c r="D7" s="3">
        <v>39.0</v>
      </c>
    </row>
    <row r="8">
      <c r="A8" s="3">
        <v>0.0</v>
      </c>
      <c r="B8" s="4">
        <v>45689.0</v>
      </c>
      <c r="C8" s="3">
        <v>0.0</v>
      </c>
      <c r="D8" s="3">
        <v>63.0</v>
      </c>
    </row>
    <row r="9">
      <c r="A9" s="3">
        <v>0.0</v>
      </c>
      <c r="B9" s="4">
        <v>45689.0</v>
      </c>
      <c r="C9" s="3">
        <v>1.0</v>
      </c>
      <c r="D9" s="3">
        <v>46.0</v>
      </c>
    </row>
    <row r="10">
      <c r="A10" s="3">
        <v>0.0</v>
      </c>
      <c r="B10" s="4">
        <v>45689.0</v>
      </c>
      <c r="C10" s="3">
        <v>2.0</v>
      </c>
      <c r="D10" s="3">
        <v>48.0</v>
      </c>
    </row>
    <row r="11">
      <c r="A11" s="3">
        <v>0.0</v>
      </c>
      <c r="B11" s="4">
        <v>45689.0</v>
      </c>
      <c r="C11" s="3">
        <v>3.0</v>
      </c>
      <c r="D11" s="3">
        <v>49.0</v>
      </c>
    </row>
    <row r="12">
      <c r="A12" s="3">
        <v>0.0</v>
      </c>
      <c r="B12" s="4">
        <v>45689.0</v>
      </c>
      <c r="C12" s="3">
        <v>4.0</v>
      </c>
      <c r="D12" s="3">
        <v>43.0</v>
      </c>
    </row>
    <row r="13">
      <c r="A13" s="3">
        <v>0.0</v>
      </c>
      <c r="B13" s="4">
        <v>45717.0</v>
      </c>
      <c r="C13" s="3">
        <v>0.0</v>
      </c>
      <c r="D13" s="3">
        <v>51.0</v>
      </c>
    </row>
    <row r="14">
      <c r="A14" s="3">
        <v>0.0</v>
      </c>
      <c r="B14" s="4">
        <v>45717.0</v>
      </c>
      <c r="C14" s="3">
        <v>1.0</v>
      </c>
      <c r="D14" s="3">
        <v>41.0</v>
      </c>
    </row>
    <row r="15">
      <c r="A15" s="3">
        <v>0.0</v>
      </c>
      <c r="B15" s="4">
        <v>45717.0</v>
      </c>
      <c r="C15" s="3">
        <v>2.0</v>
      </c>
      <c r="D15" s="3">
        <v>47.0</v>
      </c>
    </row>
    <row r="16">
      <c r="A16" s="3">
        <v>0.0</v>
      </c>
      <c r="B16" s="4">
        <v>45717.0</v>
      </c>
      <c r="C16" s="3">
        <v>3.0</v>
      </c>
      <c r="D16" s="3">
        <v>41.0</v>
      </c>
    </row>
    <row r="17">
      <c r="A17" s="3">
        <v>0.0</v>
      </c>
      <c r="B17" s="4">
        <v>45748.0</v>
      </c>
      <c r="C17" s="3">
        <v>0.0</v>
      </c>
      <c r="D17" s="3">
        <v>61.0</v>
      </c>
    </row>
    <row r="18">
      <c r="A18" s="3">
        <v>0.0</v>
      </c>
      <c r="B18" s="4">
        <v>45748.0</v>
      </c>
      <c r="C18" s="3">
        <v>1.0</v>
      </c>
      <c r="D18" s="3">
        <v>50.0</v>
      </c>
    </row>
    <row r="19">
      <c r="A19" s="3">
        <v>0.0</v>
      </c>
      <c r="B19" s="4">
        <v>45748.0</v>
      </c>
      <c r="C19" s="3">
        <v>2.0</v>
      </c>
      <c r="D19" s="3">
        <v>47.0</v>
      </c>
    </row>
    <row r="20">
      <c r="A20" s="3">
        <v>0.0</v>
      </c>
      <c r="B20" s="4">
        <v>45778.0</v>
      </c>
      <c r="C20" s="3">
        <v>0.0</v>
      </c>
      <c r="D20" s="3">
        <v>63.0</v>
      </c>
    </row>
    <row r="21">
      <c r="A21" s="3">
        <v>0.0</v>
      </c>
      <c r="B21" s="4">
        <v>45778.0</v>
      </c>
      <c r="C21" s="3">
        <v>1.0</v>
      </c>
      <c r="D21" s="3">
        <v>55.0</v>
      </c>
    </row>
    <row r="22">
      <c r="A22" s="3">
        <v>0.0</v>
      </c>
      <c r="B22" s="4">
        <v>45809.0</v>
      </c>
      <c r="C22" s="3">
        <v>0.0</v>
      </c>
      <c r="D22" s="3">
        <v>50.0</v>
      </c>
    </row>
    <row r="23">
      <c r="A23" s="3">
        <v>1.0</v>
      </c>
      <c r="B23" s="4">
        <v>45658.0</v>
      </c>
      <c r="C23" s="3">
        <v>0.0</v>
      </c>
      <c r="D23" s="3">
        <v>34.0</v>
      </c>
    </row>
    <row r="24">
      <c r="A24" s="3">
        <v>1.0</v>
      </c>
      <c r="B24" s="4">
        <v>45658.0</v>
      </c>
      <c r="C24" s="3">
        <v>1.0</v>
      </c>
      <c r="D24" s="3">
        <v>21.0</v>
      </c>
    </row>
    <row r="25">
      <c r="A25" s="3">
        <v>1.0</v>
      </c>
      <c r="B25" s="4">
        <v>45658.0</v>
      </c>
      <c r="C25" s="3">
        <v>2.0</v>
      </c>
      <c r="D25" s="3">
        <v>17.0</v>
      </c>
    </row>
    <row r="26">
      <c r="A26" s="3">
        <v>1.0</v>
      </c>
      <c r="B26" s="4">
        <v>45658.0</v>
      </c>
      <c r="C26" s="3">
        <v>3.0</v>
      </c>
      <c r="D26" s="3">
        <v>3.0</v>
      </c>
    </row>
    <row r="27">
      <c r="A27" s="3">
        <v>1.0</v>
      </c>
      <c r="B27" s="4">
        <v>45658.0</v>
      </c>
      <c r="C27" s="3">
        <v>4.0</v>
      </c>
      <c r="D27" s="3">
        <v>6.0</v>
      </c>
    </row>
    <row r="28">
      <c r="A28" s="3">
        <v>1.0</v>
      </c>
      <c r="B28" s="4">
        <v>45658.0</v>
      </c>
      <c r="C28" s="3">
        <v>5.0</v>
      </c>
      <c r="D28" s="3">
        <v>3.0</v>
      </c>
    </row>
    <row r="29">
      <c r="A29" s="3">
        <v>1.0</v>
      </c>
      <c r="B29" s="4">
        <v>45689.0</v>
      </c>
      <c r="C29" s="3">
        <v>0.0</v>
      </c>
      <c r="D29" s="3">
        <v>41.0</v>
      </c>
    </row>
    <row r="30">
      <c r="A30" s="3">
        <v>1.0</v>
      </c>
      <c r="B30" s="4">
        <v>45689.0</v>
      </c>
      <c r="C30" s="3">
        <v>1.0</v>
      </c>
      <c r="D30" s="3">
        <v>24.0</v>
      </c>
    </row>
    <row r="31">
      <c r="A31" s="3">
        <v>1.0</v>
      </c>
      <c r="B31" s="4">
        <v>45689.0</v>
      </c>
      <c r="C31" s="3">
        <v>2.0</v>
      </c>
      <c r="D31" s="3">
        <v>17.0</v>
      </c>
    </row>
    <row r="32">
      <c r="A32" s="3">
        <v>1.0</v>
      </c>
      <c r="B32" s="4">
        <v>45689.0</v>
      </c>
      <c r="C32" s="3">
        <v>3.0</v>
      </c>
      <c r="D32" s="3">
        <v>13.0</v>
      </c>
    </row>
    <row r="33">
      <c r="A33" s="3">
        <v>1.0</v>
      </c>
      <c r="B33" s="4">
        <v>45689.0</v>
      </c>
      <c r="C33" s="3">
        <v>4.0</v>
      </c>
      <c r="D33" s="3">
        <v>8.0</v>
      </c>
    </row>
    <row r="34">
      <c r="A34" s="3">
        <v>1.0</v>
      </c>
      <c r="B34" s="4">
        <v>45717.0</v>
      </c>
      <c r="C34" s="3">
        <v>0.0</v>
      </c>
      <c r="D34" s="3">
        <v>31.0</v>
      </c>
    </row>
    <row r="35">
      <c r="A35" s="3">
        <v>1.0</v>
      </c>
      <c r="B35" s="4">
        <v>45717.0</v>
      </c>
      <c r="C35" s="3">
        <v>1.0</v>
      </c>
      <c r="D35" s="3">
        <v>18.0</v>
      </c>
    </row>
    <row r="36">
      <c r="A36" s="3">
        <v>1.0</v>
      </c>
      <c r="B36" s="4">
        <v>45717.0</v>
      </c>
      <c r="C36" s="3">
        <v>2.0</v>
      </c>
      <c r="D36" s="3">
        <v>14.0</v>
      </c>
    </row>
    <row r="37">
      <c r="A37" s="3">
        <v>1.0</v>
      </c>
      <c r="B37" s="4">
        <v>45717.0</v>
      </c>
      <c r="C37" s="3">
        <v>3.0</v>
      </c>
      <c r="D37" s="3">
        <v>11.0</v>
      </c>
    </row>
    <row r="38">
      <c r="A38" s="3">
        <v>1.0</v>
      </c>
      <c r="B38" s="4">
        <v>45748.0</v>
      </c>
      <c r="C38" s="3">
        <v>0.0</v>
      </c>
      <c r="D38" s="3">
        <v>44.0</v>
      </c>
    </row>
    <row r="39">
      <c r="A39" s="3">
        <v>1.0</v>
      </c>
      <c r="B39" s="4">
        <v>45748.0</v>
      </c>
      <c r="C39" s="3">
        <v>1.0</v>
      </c>
      <c r="D39" s="3">
        <v>24.0</v>
      </c>
    </row>
    <row r="40">
      <c r="A40" s="3">
        <v>1.0</v>
      </c>
      <c r="B40" s="4">
        <v>45748.0</v>
      </c>
      <c r="C40" s="3">
        <v>2.0</v>
      </c>
      <c r="D40" s="3">
        <v>14.0</v>
      </c>
    </row>
    <row r="41">
      <c r="A41" s="3">
        <v>1.0</v>
      </c>
      <c r="B41" s="4">
        <v>45778.0</v>
      </c>
      <c r="C41" s="3">
        <v>0.0</v>
      </c>
      <c r="D41" s="3">
        <v>45.0</v>
      </c>
    </row>
    <row r="42">
      <c r="A42" s="3">
        <v>1.0</v>
      </c>
      <c r="B42" s="4">
        <v>45778.0</v>
      </c>
      <c r="C42" s="3">
        <v>1.0</v>
      </c>
      <c r="D42" s="3">
        <v>21.0</v>
      </c>
    </row>
    <row r="43">
      <c r="A43" s="3">
        <v>1.0</v>
      </c>
      <c r="B43" s="4">
        <v>45809.0</v>
      </c>
      <c r="C43" s="3">
        <v>0.0</v>
      </c>
      <c r="D43" s="3">
        <v>47.0</v>
      </c>
    </row>
  </sheetData>
  <customSheetViews>
    <customSheetView guid="{BF74AAD2-C080-46C0-93FE-7AFAE0C2965B}" filter="1" showAutoFilter="1">
      <autoFilter ref="$A$1:$D$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10.38"/>
    <col customWidth="1" min="3" max="3" width="7.88"/>
    <col customWidth="1" min="4" max="4" width="6.63"/>
    <col customWidth="1" min="5" max="5" width="7.0"/>
    <col customWidth="1" min="6" max="6" width="8.88"/>
    <col customWidth="1" min="7" max="7" width="8.5"/>
    <col customWidth="1" min="8" max="8" width="9.25"/>
  </cols>
  <sheetData>
    <row r="1"/>
    <row r="2"/>
    <row r="3">
      <c r="H3" s="7"/>
    </row>
    <row r="4">
      <c r="H4" s="7"/>
    </row>
    <row r="5">
      <c r="H5" s="7"/>
    </row>
    <row r="6">
      <c r="H6" s="7"/>
    </row>
    <row r="7">
      <c r="H7" s="7"/>
    </row>
    <row r="8">
      <c r="H8" s="7"/>
    </row>
    <row r="9">
      <c r="H9" s="7"/>
    </row>
    <row r="10">
      <c r="L10" s="15"/>
    </row>
    <row r="15">
      <c r="A15" s="5" t="s">
        <v>3</v>
      </c>
      <c r="B15" s="5">
        <v>0.0</v>
      </c>
      <c r="C15" s="5">
        <v>1.0</v>
      </c>
      <c r="D15" s="5">
        <v>2.0</v>
      </c>
      <c r="E15" s="5">
        <v>3.0</v>
      </c>
      <c r="F15" s="5">
        <v>4.0</v>
      </c>
      <c r="G15" s="5">
        <v>5.0</v>
      </c>
    </row>
    <row r="16">
      <c r="A16" s="6">
        <v>45658.0</v>
      </c>
      <c r="B16" s="16">
        <f t="shared" ref="B16:G16" si="1">if(B3="","",B3/$B3)</f>
        <v>1</v>
      </c>
      <c r="C16" s="16">
        <f t="shared" si="1"/>
        <v>0.7596153846</v>
      </c>
      <c r="D16" s="16">
        <f t="shared" si="1"/>
        <v>0.6826923077</v>
      </c>
      <c r="E16" s="16">
        <f t="shared" si="1"/>
        <v>0.5288461538</v>
      </c>
      <c r="F16" s="16">
        <f t="shared" si="1"/>
        <v>0.4711538462</v>
      </c>
      <c r="G16" s="16">
        <f t="shared" si="1"/>
        <v>0.4038461538</v>
      </c>
    </row>
    <row r="17">
      <c r="A17" s="6">
        <v>45689.0</v>
      </c>
      <c r="B17" s="16">
        <f t="shared" ref="B17:G17" si="2">if(B4="","",B4/$B4)</f>
        <v>1</v>
      </c>
      <c r="C17" s="16">
        <f t="shared" si="2"/>
        <v>0.6730769231</v>
      </c>
      <c r="D17" s="16">
        <f t="shared" si="2"/>
        <v>0.625</v>
      </c>
      <c r="E17" s="16">
        <f t="shared" si="2"/>
        <v>0.5961538462</v>
      </c>
      <c r="F17" s="16">
        <f t="shared" si="2"/>
        <v>0.4903846154</v>
      </c>
      <c r="G17" s="16" t="str">
        <f t="shared" si="2"/>
        <v/>
      </c>
    </row>
    <row r="18">
      <c r="A18" s="6">
        <v>45717.0</v>
      </c>
      <c r="B18" s="16">
        <f t="shared" ref="B18:G18" si="3">if(B5="","",B5/$B5)</f>
        <v>1</v>
      </c>
      <c r="C18" s="16">
        <f t="shared" si="3"/>
        <v>0.7195121951</v>
      </c>
      <c r="D18" s="16">
        <f t="shared" si="3"/>
        <v>0.743902439</v>
      </c>
      <c r="E18" s="16">
        <f t="shared" si="3"/>
        <v>0.6341463415</v>
      </c>
      <c r="F18" s="16" t="str">
        <f t="shared" si="3"/>
        <v/>
      </c>
      <c r="G18" s="16" t="str">
        <f t="shared" si="3"/>
        <v/>
      </c>
    </row>
    <row r="19">
      <c r="A19" s="6">
        <v>45748.0</v>
      </c>
      <c r="B19" s="16">
        <f t="shared" ref="B19:G19" si="4">if(B6="","",B6/$B6)</f>
        <v>1</v>
      </c>
      <c r="C19" s="16">
        <f t="shared" si="4"/>
        <v>0.7047619048</v>
      </c>
      <c r="D19" s="16">
        <f t="shared" si="4"/>
        <v>0.580952381</v>
      </c>
      <c r="E19" s="16" t="str">
        <f t="shared" si="4"/>
        <v/>
      </c>
      <c r="F19" s="16" t="str">
        <f t="shared" si="4"/>
        <v/>
      </c>
      <c r="G19" s="16" t="str">
        <f t="shared" si="4"/>
        <v/>
      </c>
    </row>
    <row r="20">
      <c r="A20" s="6">
        <v>45778.0</v>
      </c>
      <c r="B20" s="16">
        <f t="shared" ref="B20:G20" si="5">if(B7="","",B7/$B7)</f>
        <v>1</v>
      </c>
      <c r="C20" s="16">
        <f t="shared" si="5"/>
        <v>0.7037037037</v>
      </c>
      <c r="D20" s="16" t="str">
        <f t="shared" si="5"/>
        <v/>
      </c>
      <c r="E20" s="16" t="str">
        <f t="shared" si="5"/>
        <v/>
      </c>
      <c r="F20" s="16" t="str">
        <f t="shared" si="5"/>
        <v/>
      </c>
      <c r="G20" s="16" t="str">
        <f t="shared" si="5"/>
        <v/>
      </c>
    </row>
    <row r="21">
      <c r="A21" s="6">
        <v>45809.0</v>
      </c>
      <c r="B21" s="16">
        <f t="shared" ref="B21:G21" si="6">if(B8="","",B8/$B8)</f>
        <v>1</v>
      </c>
      <c r="C21" s="16" t="str">
        <f t="shared" si="6"/>
        <v/>
      </c>
      <c r="D21" s="16" t="str">
        <f t="shared" si="6"/>
        <v/>
      </c>
      <c r="E21" s="16" t="str">
        <f t="shared" si="6"/>
        <v/>
      </c>
      <c r="F21" s="16" t="str">
        <f t="shared" si="6"/>
        <v/>
      </c>
      <c r="G21" s="16" t="str">
        <f t="shared" si="6"/>
        <v/>
      </c>
    </row>
  </sheetData>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 customWidth="1" min="2" max="2" width="78.88"/>
  </cols>
  <sheetData>
    <row r="1" ht="75.75" customHeight="1">
      <c r="A1" s="1" t="s">
        <v>0</v>
      </c>
      <c r="B1" s="2" t="s">
        <v>1</v>
      </c>
    </row>
  </sheetData>
  <drawing r:id="rId1"/>
</worksheet>
</file>